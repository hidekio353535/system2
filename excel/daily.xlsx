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rels" ContentType="application/vnd.openxmlformats-package.relationships+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9005"/>
  <workbookPr/>
  <mc:AlternateContent xmlns:mc="http://schemas.openxmlformats.org/markup-compatibility/2006">
    <mc:Choice Requires="x15">
      <x15ac:absPath xmlns:x15ac="http://schemas.microsoft.com/office/spreadsheetml/2010/11/ac" url="/Users/hidekio/Dropbox/htdocs/granz/system2/excel/"/>
    </mc:Choice>
  </mc:AlternateContent>
  <bookViews>
    <workbookView xWindow="8240" yWindow="7100" windowWidth="28260" windowHeight="16300"/>
  </bookViews>
  <sheets>
    <sheet name="Sheet1" sheetId="1" r:id="rId1"/>
  </sheets>
  <definedNames>
    <definedName name="_xlnm.Print_Area" localSheetId="0">Sheet1!$A$1:$M$49</definedName>
  </definedNames>
  <calcPr calcId="150001" concurrentCalc="0"/>
  <fileRecoveryPr autoRecover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0" i="1" l="1"/>
  <c r="H39" i="1"/>
  <c r="H13" i="1"/>
  <c r="H47" i="1"/>
  <c r="H46" i="1"/>
  <c r="H45" i="1"/>
  <c r="H30" i="1"/>
  <c r="H29" i="1"/>
  <c r="H20" i="1"/>
  <c r="H21" i="1"/>
  <c r="H22" i="1"/>
  <c r="H23" i="1"/>
  <c r="H24" i="1"/>
  <c r="H25" i="1"/>
  <c r="H26" i="1"/>
  <c r="H27" i="1"/>
  <c r="H28" i="1"/>
  <c r="H31" i="1"/>
  <c r="H32" i="1"/>
  <c r="H33" i="1"/>
  <c r="H34" i="1"/>
  <c r="H35" i="1"/>
  <c r="H36" i="1"/>
  <c r="H37" i="1"/>
  <c r="H38" i="1"/>
  <c r="H41" i="1"/>
  <c r="H42" i="1"/>
  <c r="H43" i="1"/>
  <c r="H44" i="1"/>
  <c r="H19" i="1"/>
  <c r="H14" i="1"/>
  <c r="H15" i="1"/>
  <c r="H16" i="1"/>
  <c r="H17" i="1"/>
  <c r="H18" i="1"/>
  <c r="H48" i="1"/>
  <c r="C11" i="1"/>
</calcChain>
</file>

<file path=xl/sharedStrings.xml><?xml version="1.0" encoding="utf-8"?>
<sst xmlns="http://schemas.openxmlformats.org/spreadsheetml/2006/main" count="94" uniqueCount="69">
  <si>
    <t>金額</t>
    <rPh sb="0" eb="2">
      <t>キンガク</t>
    </rPh>
    <phoneticPr fontId="1"/>
  </si>
  <si>
    <t>名称</t>
    <rPh sb="0" eb="2">
      <t>メイショウ</t>
    </rPh>
    <phoneticPr fontId="1"/>
  </si>
  <si>
    <t>単位</t>
    <rPh sb="0" eb="2">
      <t>タンイ</t>
    </rPh>
    <phoneticPr fontId="1"/>
  </si>
  <si>
    <t>単価</t>
    <rPh sb="0" eb="2">
      <t>タンカ</t>
    </rPh>
    <phoneticPr fontId="1"/>
  </si>
  <si>
    <t>備考</t>
    <rPh sb="0" eb="2">
      <t>ビコウ</t>
    </rPh>
    <phoneticPr fontId="1"/>
  </si>
  <si>
    <t>外部足場(延床)架2.5F</t>
    <rPh sb="0" eb="2">
      <t>ガイブ</t>
    </rPh>
    <rPh sb="2" eb="4">
      <t>アシバ</t>
    </rPh>
    <rPh sb="5" eb="6">
      <t>エン</t>
    </rPh>
    <rPh sb="6" eb="7">
      <t>ユカ</t>
    </rPh>
    <rPh sb="8" eb="9">
      <t>カ</t>
    </rPh>
    <phoneticPr fontId="1"/>
  </si>
  <si>
    <t>外部足場(延床)払2.5F</t>
    <rPh sb="0" eb="2">
      <t>ガイブ</t>
    </rPh>
    <rPh sb="2" eb="4">
      <t>アシバ</t>
    </rPh>
    <rPh sb="5" eb="6">
      <t>エン</t>
    </rPh>
    <rPh sb="6" eb="7">
      <t>ユカ</t>
    </rPh>
    <rPh sb="8" eb="9">
      <t>ハラ</t>
    </rPh>
    <phoneticPr fontId="1"/>
  </si>
  <si>
    <t>外部足場(延床)架3F</t>
    <rPh sb="0" eb="2">
      <t>ガイブ</t>
    </rPh>
    <rPh sb="2" eb="4">
      <t>アシバ</t>
    </rPh>
    <rPh sb="5" eb="6">
      <t>エン</t>
    </rPh>
    <rPh sb="6" eb="7">
      <t>ユカ</t>
    </rPh>
    <rPh sb="8" eb="9">
      <t>カ</t>
    </rPh>
    <phoneticPr fontId="1"/>
  </si>
  <si>
    <t>外部足場(延床)払3F</t>
    <rPh sb="0" eb="2">
      <t>ガイブ</t>
    </rPh>
    <rPh sb="2" eb="4">
      <t>アシバ</t>
    </rPh>
    <rPh sb="5" eb="6">
      <t>エン</t>
    </rPh>
    <rPh sb="6" eb="7">
      <t>ユカ</t>
    </rPh>
    <rPh sb="8" eb="9">
      <t>ハラ</t>
    </rPh>
    <phoneticPr fontId="1"/>
  </si>
  <si>
    <t>開口塞ぎ(シート・圧縮・親綱施工)</t>
    <rPh sb="0" eb="2">
      <t>カイコウ</t>
    </rPh>
    <rPh sb="2" eb="3">
      <t>フサ</t>
    </rPh>
    <rPh sb="9" eb="11">
      <t>アッシュク</t>
    </rPh>
    <rPh sb="12" eb="14">
      <t>オヤヅナ</t>
    </rPh>
    <rPh sb="14" eb="16">
      <t>セコウ</t>
    </rPh>
    <phoneticPr fontId="1"/>
  </si>
  <si>
    <t>盛替工事</t>
    <rPh sb="0" eb="1">
      <t>モリ</t>
    </rPh>
    <rPh sb="1" eb="2">
      <t>カ</t>
    </rPh>
    <rPh sb="2" eb="4">
      <t>コウジ</t>
    </rPh>
    <phoneticPr fontId="1"/>
  </si>
  <si>
    <t>下桟  架</t>
    <rPh sb="0" eb="1">
      <t>シタ</t>
    </rPh>
    <rPh sb="1" eb="2">
      <t>サン</t>
    </rPh>
    <rPh sb="4" eb="5">
      <t>カ</t>
    </rPh>
    <phoneticPr fontId="1"/>
  </si>
  <si>
    <t>下桟  払</t>
    <rPh sb="0" eb="1">
      <t>シタ</t>
    </rPh>
    <rPh sb="1" eb="2">
      <t>サン</t>
    </rPh>
    <rPh sb="4" eb="5">
      <t>ハラ</t>
    </rPh>
    <phoneticPr fontId="1"/>
  </si>
  <si>
    <t>本足場  架</t>
    <rPh sb="0" eb="1">
      <t>ホン</t>
    </rPh>
    <rPh sb="1" eb="3">
      <t>アシバ</t>
    </rPh>
    <rPh sb="5" eb="6">
      <t>カ</t>
    </rPh>
    <phoneticPr fontId="1"/>
  </si>
  <si>
    <t>本足場  払</t>
    <rPh sb="0" eb="1">
      <t>ホン</t>
    </rPh>
    <rPh sb="1" eb="3">
      <t>アシバ</t>
    </rPh>
    <rPh sb="5" eb="6">
      <t>ハラ</t>
    </rPh>
    <phoneticPr fontId="1"/>
  </si>
  <si>
    <t>内中桟  架</t>
    <rPh sb="0" eb="1">
      <t>ウチ</t>
    </rPh>
    <rPh sb="1" eb="2">
      <t>ナカ</t>
    </rPh>
    <rPh sb="5" eb="6">
      <t>カ</t>
    </rPh>
    <phoneticPr fontId="1"/>
  </si>
  <si>
    <t>内中桟  払</t>
    <rPh sb="0" eb="1">
      <t>ウチ</t>
    </rPh>
    <rPh sb="1" eb="2">
      <t>ナカ</t>
    </rPh>
    <rPh sb="5" eb="6">
      <t>ハラ</t>
    </rPh>
    <phoneticPr fontId="1"/>
  </si>
  <si>
    <t>内下桟  架</t>
    <rPh sb="0" eb="1">
      <t>ウチ</t>
    </rPh>
    <rPh sb="5" eb="6">
      <t>カ</t>
    </rPh>
    <phoneticPr fontId="1"/>
  </si>
  <si>
    <t>内下桟  払</t>
    <rPh sb="0" eb="1">
      <t>ウチ</t>
    </rPh>
    <rPh sb="5" eb="6">
      <t>ハラ</t>
    </rPh>
    <phoneticPr fontId="1"/>
  </si>
  <si>
    <t>メッシュシート  払</t>
    <rPh sb="9" eb="10">
      <t>ハラ</t>
    </rPh>
    <phoneticPr fontId="1"/>
  </si>
  <si>
    <t>ステップ  架</t>
    <rPh sb="6" eb="7">
      <t>カ</t>
    </rPh>
    <phoneticPr fontId="1"/>
  </si>
  <si>
    <t>ステップ  払</t>
    <rPh sb="6" eb="7">
      <t>ハラ</t>
    </rPh>
    <phoneticPr fontId="1"/>
  </si>
  <si>
    <t>親綱  架</t>
    <rPh sb="0" eb="2">
      <t>オヤヅナ</t>
    </rPh>
    <rPh sb="4" eb="5">
      <t>カ</t>
    </rPh>
    <phoneticPr fontId="1"/>
  </si>
  <si>
    <t>親綱  払</t>
    <rPh sb="0" eb="2">
      <t>オヤヅナ</t>
    </rPh>
    <rPh sb="4" eb="5">
      <t>ハラ</t>
    </rPh>
    <phoneticPr fontId="1"/>
  </si>
  <si>
    <t>グランドコート  架</t>
    <rPh sb="9" eb="10">
      <t>カ</t>
    </rPh>
    <phoneticPr fontId="1"/>
  </si>
  <si>
    <t>アンチ2枚架  架</t>
    <rPh sb="4" eb="5">
      <t>マイ</t>
    </rPh>
    <rPh sb="5" eb="6">
      <t>カ</t>
    </rPh>
    <rPh sb="8" eb="9">
      <t>カ</t>
    </rPh>
    <phoneticPr fontId="1"/>
  </si>
  <si>
    <t>アンチ2枚架  払</t>
    <rPh sb="4" eb="5">
      <t>マイ</t>
    </rPh>
    <rPh sb="5" eb="6">
      <t>カ</t>
    </rPh>
    <rPh sb="8" eb="9">
      <t>ハラ</t>
    </rPh>
    <phoneticPr fontId="1"/>
  </si>
  <si>
    <t>屋根足場  架</t>
    <rPh sb="0" eb="2">
      <t>ヤネ</t>
    </rPh>
    <rPh sb="2" eb="4">
      <t>アシバ</t>
    </rPh>
    <rPh sb="6" eb="7">
      <t>カ</t>
    </rPh>
    <phoneticPr fontId="1"/>
  </si>
  <si>
    <t>屋根足場  払</t>
    <rPh sb="0" eb="2">
      <t>ヤネ</t>
    </rPh>
    <rPh sb="2" eb="4">
      <t>アシバ</t>
    </rPh>
    <rPh sb="6" eb="7">
      <t>ハラ</t>
    </rPh>
    <phoneticPr fontId="1"/>
  </si>
  <si>
    <t>当日キャンセル</t>
    <rPh sb="0" eb="2">
      <t>トウジツ</t>
    </rPh>
    <phoneticPr fontId="1"/>
  </si>
  <si>
    <t>㎡</t>
    <phoneticPr fontId="1"/>
  </si>
  <si>
    <t>面</t>
    <rPh sb="0" eb="1">
      <t>メン</t>
    </rPh>
    <phoneticPr fontId="1"/>
  </si>
  <si>
    <t>枚</t>
    <rPh sb="0" eb="1">
      <t>マイ</t>
    </rPh>
    <phoneticPr fontId="1"/>
  </si>
  <si>
    <t>基</t>
    <rPh sb="0" eb="1">
      <t>キ</t>
    </rPh>
    <phoneticPr fontId="1"/>
  </si>
  <si>
    <t>車</t>
    <rPh sb="0" eb="1">
      <t>クルマ</t>
    </rPh>
    <phoneticPr fontId="1"/>
  </si>
  <si>
    <t>小数点以下切り下げ</t>
    <rPh sb="0" eb="3">
      <t>ショウスウテン</t>
    </rPh>
    <rPh sb="3" eb="5">
      <t>イカ</t>
    </rPh>
    <rPh sb="5" eb="6">
      <t>キ</t>
    </rPh>
    <rPh sb="7" eb="8">
      <t>サ</t>
    </rPh>
    <phoneticPr fontId="1"/>
  </si>
  <si>
    <t>全結束として</t>
    <rPh sb="0" eb="1">
      <t>ゼン</t>
    </rPh>
    <rPh sb="1" eb="3">
      <t>ケッソク</t>
    </rPh>
    <phoneticPr fontId="1"/>
  </si>
  <si>
    <t>軒の出による</t>
    <rPh sb="0" eb="1">
      <t>ノキ</t>
    </rPh>
    <rPh sb="2" eb="3">
      <t>デ</t>
    </rPh>
    <phoneticPr fontId="1"/>
  </si>
  <si>
    <t>現 場 日 報</t>
    <rPh sb="0" eb="1">
      <t>ゲン</t>
    </rPh>
    <rPh sb="2" eb="3">
      <t>バ</t>
    </rPh>
    <rPh sb="4" eb="5">
      <t>ニチ</t>
    </rPh>
    <rPh sb="6" eb="7">
      <t>ホウ</t>
    </rPh>
    <phoneticPr fontId="1"/>
  </si>
  <si>
    <t>備考</t>
    <rPh sb="0" eb="2">
      <t>ビコウ</t>
    </rPh>
    <phoneticPr fontId="1"/>
  </si>
  <si>
    <t>合計金額</t>
    <rPh sb="0" eb="2">
      <t>ゴウケイ</t>
    </rPh>
    <rPh sb="2" eb="4">
      <t>キンガク</t>
    </rPh>
    <phoneticPr fontId="1"/>
  </si>
  <si>
    <t>メッシュシート　巻き付け</t>
    <rPh sb="8" eb="9">
      <t>マ</t>
    </rPh>
    <rPh sb="10" eb="11">
      <t>ツ</t>
    </rPh>
    <phoneticPr fontId="1"/>
  </si>
  <si>
    <t>枚</t>
    <rPh sb="0" eb="1">
      <t>マイ</t>
    </rPh>
    <phoneticPr fontId="1"/>
  </si>
  <si>
    <t>式</t>
    <rPh sb="0" eb="1">
      <t>シキ</t>
    </rPh>
    <phoneticPr fontId="1"/>
  </si>
  <si>
    <t>本</t>
    <rPh sb="0" eb="1">
      <t>ホン</t>
    </rPh>
    <phoneticPr fontId="1"/>
  </si>
  <si>
    <t>職方名：</t>
    <rPh sb="0" eb="1">
      <t>ショク</t>
    </rPh>
    <rPh sb="1" eb="2">
      <t>カタ</t>
    </rPh>
    <rPh sb="2" eb="3">
      <t>メイ</t>
    </rPh>
    <phoneticPr fontId="1"/>
  </si>
  <si>
    <t>元請名：</t>
    <rPh sb="0" eb="1">
      <t>モト</t>
    </rPh>
    <rPh sb="1" eb="2">
      <t>ウケ</t>
    </rPh>
    <rPh sb="2" eb="3">
      <t>メイ</t>
    </rPh>
    <phoneticPr fontId="1"/>
  </si>
  <si>
    <t>現場住所：</t>
    <rPh sb="0" eb="2">
      <t>ゲンバ</t>
    </rPh>
    <rPh sb="2" eb="4">
      <t>ジュウショ</t>
    </rPh>
    <phoneticPr fontId="1"/>
  </si>
  <si>
    <t>メッシュシート  架け（復旧）</t>
    <rPh sb="9" eb="10">
      <t>カ</t>
    </rPh>
    <rPh sb="12" eb="14">
      <t>フッキュウ</t>
    </rPh>
    <phoneticPr fontId="1"/>
  </si>
  <si>
    <t>階段ブラケット除く・２コマ目から</t>
    <rPh sb="0" eb="2">
      <t>カイダン</t>
    </rPh>
    <rPh sb="7" eb="8">
      <t>ノゾ</t>
    </rPh>
    <rPh sb="13" eb="14">
      <t>メ</t>
    </rPh>
    <phoneticPr fontId="1"/>
  </si>
  <si>
    <t>発注金額(税込)：</t>
    <rPh sb="0" eb="2">
      <t>ハッチュウ</t>
    </rPh>
    <rPh sb="2" eb="4">
      <t>キンガク</t>
    </rPh>
    <rPh sb="5" eb="7">
      <t>ゼイコミ</t>
    </rPh>
    <phoneticPr fontId="1"/>
  </si>
  <si>
    <t>現場名：</t>
    <rPh sb="0" eb="2">
      <t>ゲンバ</t>
    </rPh>
    <rPh sb="2" eb="3">
      <t>メイ</t>
    </rPh>
    <phoneticPr fontId="1"/>
  </si>
  <si>
    <t>区分：</t>
    <rPh sb="0" eb="2">
      <t>クブン</t>
    </rPh>
    <phoneticPr fontId="1"/>
  </si>
  <si>
    <t>外部足場(延床)架2Fまで</t>
    <rPh sb="0" eb="2">
      <t>ガイブ</t>
    </rPh>
    <rPh sb="2" eb="4">
      <t>アシバ</t>
    </rPh>
    <rPh sb="5" eb="6">
      <t>エン</t>
    </rPh>
    <rPh sb="6" eb="7">
      <t>ユカ</t>
    </rPh>
    <rPh sb="8" eb="9">
      <t>カ</t>
    </rPh>
    <phoneticPr fontId="1"/>
  </si>
  <si>
    <t>外部足場(延床)払2Fまで</t>
    <rPh sb="0" eb="2">
      <t>ガイブ</t>
    </rPh>
    <rPh sb="2" eb="4">
      <t>アシバ</t>
    </rPh>
    <rPh sb="5" eb="6">
      <t>エン</t>
    </rPh>
    <rPh sb="6" eb="7">
      <t>ユカ</t>
    </rPh>
    <rPh sb="8" eb="9">
      <t>ハラ</t>
    </rPh>
    <phoneticPr fontId="1"/>
  </si>
  <si>
    <t>遠方料金  (埼玉・東京以外）</t>
    <rPh sb="0" eb="2">
      <t>エンポウ</t>
    </rPh>
    <rPh sb="2" eb="4">
      <t>リョウキン</t>
    </rPh>
    <rPh sb="7" eb="9">
      <t>サイタマ</t>
    </rPh>
    <rPh sb="10" eb="12">
      <t>トウキョウ</t>
    </rPh>
    <rPh sb="12" eb="14">
      <t>イガイ</t>
    </rPh>
    <phoneticPr fontId="1"/>
  </si>
  <si>
    <t>※但し 盛替・塞ぎ別途</t>
    <rPh sb="1" eb="2">
      <t>タダ</t>
    </rPh>
    <rPh sb="4" eb="5">
      <t>モリ</t>
    </rPh>
    <rPh sb="5" eb="6">
      <t>カ</t>
    </rPh>
    <rPh sb="7" eb="8">
      <t>フサ</t>
    </rPh>
    <rPh sb="9" eb="11">
      <t>ベット</t>
    </rPh>
    <phoneticPr fontId="1"/>
  </si>
  <si>
    <t>数量</t>
    <rPh sb="0" eb="2">
      <t>スウリョウ</t>
    </rPh>
    <phoneticPr fontId="1"/>
  </si>
  <si>
    <t>職方</t>
    <rPh sb="0" eb="1">
      <t>ショク</t>
    </rPh>
    <rPh sb="1" eb="2">
      <t>ガタ</t>
    </rPh>
    <phoneticPr fontId="1"/>
  </si>
  <si>
    <t>営業</t>
    <rPh sb="0" eb="2">
      <t>エイギョウ</t>
    </rPh>
    <phoneticPr fontId="1"/>
  </si>
  <si>
    <t>事務</t>
    <rPh sb="0" eb="2">
      <t>ジム</t>
    </rPh>
    <phoneticPr fontId="1"/>
  </si>
  <si>
    <t>※記入、または目を通したら↓にサイン、印をしてください</t>
    <rPh sb="1" eb="3">
      <t>キニュウ</t>
    </rPh>
    <rPh sb="7" eb="8">
      <t>メ</t>
    </rPh>
    <rPh sb="9" eb="10">
      <t>トオ</t>
    </rPh>
    <rPh sb="19" eb="20">
      <t>イン</t>
    </rPh>
    <phoneticPr fontId="1"/>
  </si>
  <si>
    <t>ID:</t>
    <phoneticPr fontId="1"/>
  </si>
  <si>
    <t>月</t>
    <rPh sb="0" eb="1">
      <t>ツキ</t>
    </rPh>
    <phoneticPr fontId="1"/>
  </si>
  <si>
    <t>日</t>
    <rPh sb="0" eb="1">
      <t>ニチ</t>
    </rPh>
    <phoneticPr fontId="1"/>
  </si>
  <si>
    <t>主担当：</t>
    <rPh sb="0" eb="3">
      <t>シュタントウ</t>
    </rPh>
    <phoneticPr fontId="1"/>
  </si>
  <si>
    <t>副担当：</t>
    <rPh sb="0" eb="3">
      <t>フクタントウ</t>
    </rPh>
    <phoneticPr fontId="1"/>
  </si>
  <si>
    <t>㎡</t>
    <rPh sb="0" eb="1">
      <t>ヘイベイ</t>
    </rPh>
    <phoneticPr fontId="1"/>
  </si>
  <si>
    <t>㎡数：</t>
    <rPh sb="0" eb="1">
      <t>ヘイベイ</t>
    </rPh>
    <rPh sb="1" eb="2">
      <t>スウ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</si>
</sst>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&quot;¥&quot;#,##0_);[Red]\(&quot;¥&quot;#,##0\)"/>
    <numFmt numFmtId="177" formatCode="0;\-0;;@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28"/>
      <color theme="1"/>
      <name val="游ゴシック"/>
      <family val="3"/>
      <charset val="128"/>
      <scheme val="minor"/>
    </font>
    <font>
      <b/>
      <sz val="28"/>
      <color theme="1"/>
      <name val="HGP創英角ｺﾞｼｯｸUB"/>
      <family val="3"/>
      <charset val="128"/>
    </font>
    <font>
      <b/>
      <sz val="36"/>
      <color theme="1"/>
      <name val="HGP創英角ｺﾞｼｯｸUB"/>
      <family val="3"/>
      <charset val="128"/>
    </font>
    <font>
      <b/>
      <sz val="14"/>
      <color theme="1"/>
      <name val="游ゴシック"/>
      <family val="3"/>
      <charset val="128"/>
      <scheme val="minor"/>
    </font>
    <font>
      <sz val="16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2" fillId="0" borderId="0" xfId="0" applyFont="1" applyAlignment="1">
      <alignment vertical="center" shrinkToFit="1"/>
    </xf>
    <xf numFmtId="0" fontId="3" fillId="0" borderId="0" xfId="0" applyFont="1" applyAlignment="1">
      <alignment shrinkToFit="1"/>
    </xf>
    <xf numFmtId="0" fontId="2" fillId="0" borderId="1" xfId="0" applyFont="1" applyBorder="1" applyAlignment="1">
      <alignment vertical="center" shrinkToFit="1"/>
    </xf>
    <xf numFmtId="0" fontId="2" fillId="0" borderId="5" xfId="0" applyFont="1" applyBorder="1" applyAlignment="1">
      <alignment horizontal="right" vertical="center" shrinkToFit="1"/>
    </xf>
    <xf numFmtId="0" fontId="2" fillId="0" borderId="5" xfId="0" applyFont="1" applyBorder="1" applyAlignment="1">
      <alignment vertical="center" shrinkToFit="1"/>
    </xf>
    <xf numFmtId="0" fontId="2" fillId="0" borderId="1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shrinkToFit="1"/>
    </xf>
    <xf numFmtId="0" fontId="2" fillId="0" borderId="2" xfId="0" applyFont="1" applyBorder="1" applyAlignment="1">
      <alignment vertical="center" shrinkToFit="1"/>
    </xf>
    <xf numFmtId="0" fontId="8" fillId="2" borderId="5" xfId="0" applyFont="1" applyFill="1" applyBorder="1" applyAlignment="1">
      <alignment vertical="center" shrinkToFit="1"/>
    </xf>
    <xf numFmtId="0" fontId="8" fillId="2" borderId="0" xfId="0" applyFont="1" applyFill="1" applyAlignment="1">
      <alignment horizontal="center" vertical="center" shrinkToFit="1"/>
    </xf>
    <xf numFmtId="0" fontId="9" fillId="0" borderId="2" xfId="0" applyFont="1" applyBorder="1" applyAlignment="1">
      <alignment vertical="top" shrinkToFit="1"/>
    </xf>
    <xf numFmtId="0" fontId="9" fillId="0" borderId="2" xfId="0" applyFont="1" applyBorder="1" applyAlignment="1">
      <alignment horizontal="center" vertical="center" shrinkToFit="1"/>
    </xf>
    <xf numFmtId="0" fontId="10" fillId="0" borderId="2" xfId="0" applyFont="1" applyBorder="1" applyAlignment="1">
      <alignment vertical="center" shrinkToFit="1"/>
    </xf>
    <xf numFmtId="0" fontId="9" fillId="0" borderId="8" xfId="0" applyFont="1" applyBorder="1" applyAlignment="1">
      <alignment vertical="top" shrinkToFit="1"/>
    </xf>
    <xf numFmtId="0" fontId="2" fillId="0" borderId="4" xfId="0" applyFont="1" applyBorder="1" applyAlignment="1">
      <alignment vertical="top" wrapText="1" shrinkToFit="1"/>
    </xf>
    <xf numFmtId="0" fontId="2" fillId="0" borderId="0" xfId="0" applyFont="1" applyBorder="1" applyAlignment="1">
      <alignment vertical="top" wrapText="1" shrinkToFi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right" vertical="center" shrinkToFit="1"/>
    </xf>
    <xf numFmtId="0" fontId="0" fillId="0" borderId="5" xfId="0" applyFont="1" applyBorder="1" applyAlignment="1">
      <alignment vertical="center" shrinkToFit="1"/>
    </xf>
    <xf numFmtId="0" fontId="2" fillId="0" borderId="0" xfId="0" applyFont="1" applyBorder="1" applyAlignment="1">
      <alignment horizontal="right" vertical="center" shrinkToFit="1"/>
    </xf>
    <xf numFmtId="0" fontId="0" fillId="0" borderId="0" xfId="0" applyFont="1" applyBorder="1" applyAlignment="1">
      <alignment horizontal="right" vertical="center" shrinkToFit="1"/>
    </xf>
    <xf numFmtId="0" fontId="2" fillId="0" borderId="0" xfId="0" applyFont="1" applyBorder="1" applyAlignment="1">
      <alignment horizontal="center" vertical="center" shrinkToFit="1"/>
    </xf>
    <xf numFmtId="0" fontId="2" fillId="0" borderId="5" xfId="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shrinkToFit="1"/>
    </xf>
    <xf numFmtId="0" fontId="9" fillId="0" borderId="6" xfId="0" applyFont="1" applyBorder="1" applyAlignment="1">
      <alignment horizontal="left" vertical="top" shrinkToFit="1"/>
    </xf>
    <xf numFmtId="0" fontId="10" fillId="0" borderId="5" xfId="0" applyFont="1" applyBorder="1" applyAlignment="1">
      <alignment horizontal="left" vertical="top" shrinkToFit="1"/>
    </xf>
    <xf numFmtId="0" fontId="10" fillId="0" borderId="7" xfId="0" applyFont="1" applyBorder="1" applyAlignment="1">
      <alignment horizontal="left" vertical="top" shrinkToFit="1"/>
    </xf>
    <xf numFmtId="0" fontId="10" fillId="0" borderId="6" xfId="0" applyFont="1" applyBorder="1" applyAlignment="1">
      <alignment horizontal="left" vertical="top" shrinkToFit="1"/>
    </xf>
    <xf numFmtId="0" fontId="2" fillId="0" borderId="0" xfId="0" applyFont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177" fontId="2" fillId="0" borderId="2" xfId="0" applyNumberFormat="1" applyFont="1" applyBorder="1" applyAlignment="1">
      <alignment horizontal="center" vertical="center" shrinkToFit="1"/>
    </xf>
    <xf numFmtId="0" fontId="9" fillId="0" borderId="5" xfId="0" applyFont="1" applyBorder="1" applyAlignment="1">
      <alignment horizontal="left" vertical="top" shrinkToFit="1"/>
    </xf>
    <xf numFmtId="0" fontId="9" fillId="0" borderId="7" xfId="0" applyFont="1" applyBorder="1" applyAlignment="1">
      <alignment horizontal="left" vertical="top" shrinkToFit="1"/>
    </xf>
    <xf numFmtId="0" fontId="9" fillId="0" borderId="6" xfId="0" applyFont="1" applyBorder="1" applyAlignment="1">
      <alignment horizontal="left" vertical="center" shrinkToFit="1"/>
    </xf>
    <xf numFmtId="0" fontId="10" fillId="0" borderId="5" xfId="0" applyFont="1" applyBorder="1" applyAlignment="1">
      <alignment horizontal="left" vertical="center" shrinkToFit="1"/>
    </xf>
    <xf numFmtId="0" fontId="10" fillId="0" borderId="7" xfId="0" applyFont="1" applyBorder="1" applyAlignment="1">
      <alignment horizontal="left" vertical="center" shrinkToFit="1"/>
    </xf>
    <xf numFmtId="177" fontId="2" fillId="0" borderId="6" xfId="0" applyNumberFormat="1" applyFont="1" applyBorder="1" applyAlignment="1">
      <alignment horizontal="center" vertical="center" shrinkToFit="1"/>
    </xf>
    <xf numFmtId="177" fontId="2" fillId="0" borderId="7" xfId="0" applyNumberFormat="1" applyFont="1" applyBorder="1" applyAlignment="1">
      <alignment horizontal="center" vertical="center" shrinkToFit="1"/>
    </xf>
    <xf numFmtId="0" fontId="11" fillId="0" borderId="3" xfId="0" applyFont="1" applyBorder="1" applyAlignment="1">
      <alignment horizontal="center" vertical="center" shrinkToFit="1"/>
    </xf>
    <xf numFmtId="0" fontId="9" fillId="0" borderId="6" xfId="0" applyFont="1" applyBorder="1" applyAlignment="1">
      <alignment horizontal="center" vertical="center" shrinkToFit="1"/>
    </xf>
    <xf numFmtId="0" fontId="9" fillId="0" borderId="5" xfId="0" applyFont="1" applyBorder="1" applyAlignment="1">
      <alignment horizontal="center" vertical="center" shrinkToFit="1"/>
    </xf>
    <xf numFmtId="0" fontId="9" fillId="0" borderId="7" xfId="0" applyFont="1" applyBorder="1" applyAlignment="1">
      <alignment horizontal="center" vertical="center" shrinkToFit="1"/>
    </xf>
    <xf numFmtId="0" fontId="4" fillId="0" borderId="0" xfId="0" applyFont="1" applyAlignment="1">
      <alignment horizontal="center" vertical="top" shrinkToFit="1"/>
    </xf>
    <xf numFmtId="0" fontId="5" fillId="0" borderId="0" xfId="0" applyFont="1" applyAlignment="1">
      <alignment horizontal="center" vertical="top" shrinkToFit="1"/>
    </xf>
    <xf numFmtId="0" fontId="8" fillId="2" borderId="0" xfId="0" applyFont="1" applyFill="1" applyAlignment="1">
      <alignment horizontal="center" vertical="center" shrinkToFit="1"/>
    </xf>
    <xf numFmtId="0" fontId="6" fillId="0" borderId="5" xfId="0" applyFont="1" applyBorder="1" applyAlignment="1">
      <alignment horizontal="left" shrinkToFit="1"/>
    </xf>
    <xf numFmtId="0" fontId="6" fillId="0" borderId="1" xfId="0" applyFont="1" applyBorder="1" applyAlignment="1">
      <alignment horizontal="left" shrinkToFit="1"/>
    </xf>
    <xf numFmtId="176" fontId="7" fillId="0" borderId="5" xfId="0" applyNumberFormat="1" applyFont="1" applyBorder="1" applyAlignment="1">
      <alignment horizontal="center" shrinkToFit="1"/>
    </xf>
    <xf numFmtId="0" fontId="7" fillId="0" borderId="5" xfId="0" applyFont="1" applyBorder="1" applyAlignment="1">
      <alignment horizontal="center" shrinkToFit="1"/>
    </xf>
    <xf numFmtId="0" fontId="2" fillId="0" borderId="0" xfId="0" applyFont="1" applyBorder="1" applyAlignment="1">
      <alignment horizontal="right" vertical="center" shrinkToFit="1"/>
    </xf>
    <xf numFmtId="0" fontId="0" fillId="0" borderId="5" xfId="0" applyFont="1" applyBorder="1" applyAlignment="1">
      <alignment horizontal="right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203200</xdr:colOff>
      <xdr:row>2</xdr:row>
      <xdr:rowOff>16932</xdr:rowOff>
    </xdr:from>
    <xdr:to>
      <xdr:col>12</xdr:col>
      <xdr:colOff>635000</xdr:colOff>
      <xdr:row>7</xdr:row>
      <xdr:rowOff>157725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05867" y="474132"/>
          <a:ext cx="2692400" cy="12837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49"/>
  <sheetViews>
    <sheetView showZeros="0" tabSelected="1" view="pageBreakPreview" zoomScale="150" zoomScaleSheetLayoutView="150" workbookViewId="0"/>
  </sheetViews>
  <sheetFormatPr baseColWidth="12" defaultColWidth="8.83203125" defaultRowHeight="18" x14ac:dyDescent="0.25"/>
  <cols>
    <col min="1" max="1" width="9.1640625" style="1" customWidth="1"/>
    <col min="2" max="2" width="6.6640625" style="1" customWidth="1"/>
    <col min="3" max="3" width="5.5" style="1" customWidth="1"/>
    <col min="4" max="4" width="5.6640625" style="1" customWidth="1"/>
    <col min="5" max="5" width="5.5" style="1" customWidth="1"/>
    <col min="6" max="6" width="5" style="1" customWidth="1"/>
    <col min="7" max="7" width="5.1640625" style="1" customWidth="1"/>
    <col min="8" max="8" width="7.33203125" style="1" customWidth="1"/>
    <col min="9" max="9" width="7.5" style="1" customWidth="1"/>
    <col min="10" max="11" width="10" style="1" customWidth="1"/>
    <col min="12" max="13" width="9.6640625" style="1" customWidth="1"/>
    <col min="14" max="16384" width="8.83203125" style="1"/>
  </cols>
  <sheetData>
    <row r="1" spans="1:13" ht="18.75" customHeight="1" x14ac:dyDescent="0.65">
      <c r="C1" s="2"/>
      <c r="D1" s="2"/>
      <c r="E1" s="43" t="s">
        <v>38</v>
      </c>
      <c r="F1" s="44"/>
      <c r="G1" s="44"/>
      <c r="H1" s="44"/>
      <c r="I1" s="44"/>
      <c r="J1" s="44"/>
    </row>
    <row r="2" spans="1:13" ht="18.75" customHeight="1" x14ac:dyDescent="0.65">
      <c r="C2" s="2"/>
      <c r="D2" s="2"/>
      <c r="E2" s="44"/>
      <c r="F2" s="44"/>
      <c r="G2" s="44"/>
      <c r="H2" s="44"/>
      <c r="I2" s="44"/>
      <c r="J2" s="44"/>
    </row>
    <row r="3" spans="1:13" x14ac:dyDescent="0.25">
      <c r="A3" s="3" t="s">
        <v>45</v>
      </c>
      <c r="B3" s="24"/>
      <c r="C3" s="24"/>
      <c r="D3" s="24"/>
      <c r="E3" s="24"/>
      <c r="F3" s="24"/>
      <c r="G3" s="24"/>
    </row>
    <row r="4" spans="1:13" x14ac:dyDescent="0.25">
      <c r="A4" s="4"/>
      <c r="B4" s="20"/>
      <c r="C4" s="21" t="s">
        <v>63</v>
      </c>
      <c r="D4" s="20"/>
      <c r="E4" s="21" t="s">
        <v>64</v>
      </c>
      <c r="F4" s="50" t="s">
        <v>52</v>
      </c>
      <c r="G4" s="50"/>
      <c r="H4" s="22"/>
      <c r="I4" s="22"/>
    </row>
    <row r="5" spans="1:13" x14ac:dyDescent="0.25">
      <c r="A5" s="5" t="s">
        <v>46</v>
      </c>
      <c r="B5" s="23"/>
      <c r="C5" s="23"/>
      <c r="D5" s="23"/>
      <c r="E5" s="23"/>
      <c r="F5" s="23"/>
      <c r="G5" s="23"/>
      <c r="H5" s="23"/>
      <c r="I5" s="23"/>
    </row>
    <row r="6" spans="1:13" x14ac:dyDescent="0.25">
      <c r="A6" s="5" t="s">
        <v>51</v>
      </c>
      <c r="B6" s="24"/>
      <c r="C6" s="24"/>
      <c r="D6" s="24"/>
      <c r="E6" s="24"/>
      <c r="F6" s="24"/>
      <c r="G6" s="18" t="s">
        <v>62</v>
      </c>
      <c r="H6" s="24"/>
      <c r="I6" s="24"/>
    </row>
    <row r="7" spans="1:13" x14ac:dyDescent="0.25">
      <c r="A7" s="5" t="s">
        <v>47</v>
      </c>
      <c r="B7" s="23"/>
      <c r="C7" s="23"/>
      <c r="D7" s="23"/>
      <c r="E7" s="23"/>
      <c r="F7" s="23"/>
      <c r="G7" s="23"/>
      <c r="H7" s="24"/>
      <c r="I7" s="29"/>
      <c r="J7" s="29"/>
      <c r="K7" s="29"/>
      <c r="L7" s="29"/>
      <c r="M7" s="29"/>
    </row>
    <row r="8" spans="1:13" x14ac:dyDescent="0.25">
      <c r="A8" s="19" t="s">
        <v>65</v>
      </c>
      <c r="B8" s="24"/>
      <c r="C8" s="24"/>
      <c r="D8" s="30" t="s">
        <v>66</v>
      </c>
      <c r="E8" s="24"/>
      <c r="F8" s="24"/>
      <c r="G8" s="24"/>
      <c r="I8" s="29"/>
      <c r="J8" s="29"/>
      <c r="K8" s="29"/>
      <c r="L8" s="29"/>
      <c r="M8" s="29"/>
    </row>
    <row r="9" spans="1:13" x14ac:dyDescent="0.25">
      <c r="A9" s="19" t="s">
        <v>68</v>
      </c>
      <c r="B9" s="51"/>
      <c r="C9" s="51"/>
      <c r="D9" s="51"/>
      <c r="E9" s="51"/>
      <c r="F9" s="30" t="s">
        <v>67</v>
      </c>
      <c r="G9" s="24"/>
      <c r="I9" s="29" t="s">
        <v>61</v>
      </c>
      <c r="J9" s="29"/>
      <c r="K9" s="29"/>
      <c r="L9" s="29"/>
      <c r="M9" s="29"/>
    </row>
    <row r="10" spans="1:13" ht="14.25" customHeight="1" x14ac:dyDescent="0.25">
      <c r="A10" s="5"/>
      <c r="B10" s="6"/>
      <c r="C10" s="6"/>
      <c r="D10" s="6"/>
      <c r="E10" s="6"/>
      <c r="F10" s="6"/>
      <c r="G10" s="6"/>
      <c r="J10" s="7" t="s">
        <v>58</v>
      </c>
      <c r="K10" s="7" t="s">
        <v>59</v>
      </c>
      <c r="L10" s="7" t="s">
        <v>60</v>
      </c>
    </row>
    <row r="11" spans="1:13" ht="36.75" customHeight="1" x14ac:dyDescent="0.4">
      <c r="A11" s="46" t="s">
        <v>50</v>
      </c>
      <c r="B11" s="47"/>
      <c r="C11" s="48">
        <f>H48</f>
        <v>0</v>
      </c>
      <c r="D11" s="48"/>
      <c r="E11" s="49"/>
      <c r="F11" s="49"/>
      <c r="G11" s="49"/>
      <c r="J11" s="8"/>
      <c r="K11" s="7"/>
      <c r="L11" s="8"/>
    </row>
    <row r="12" spans="1:13" ht="21" customHeight="1" x14ac:dyDescent="0.25">
      <c r="A12" s="45" t="s">
        <v>1</v>
      </c>
      <c r="B12" s="45"/>
      <c r="C12" s="45"/>
      <c r="D12" s="9"/>
      <c r="E12" s="9" t="s">
        <v>57</v>
      </c>
      <c r="F12" s="10" t="s">
        <v>2</v>
      </c>
      <c r="G12" s="10" t="s">
        <v>3</v>
      </c>
      <c r="H12" s="45" t="s">
        <v>0</v>
      </c>
      <c r="I12" s="45"/>
      <c r="J12" s="45" t="s">
        <v>4</v>
      </c>
      <c r="K12" s="45"/>
      <c r="L12" s="45"/>
      <c r="M12" s="45"/>
    </row>
    <row r="13" spans="1:13" ht="18" customHeight="1" x14ac:dyDescent="0.25">
      <c r="A13" s="25" t="s">
        <v>53</v>
      </c>
      <c r="B13" s="32"/>
      <c r="C13" s="32"/>
      <c r="D13" s="32"/>
      <c r="E13" s="11"/>
      <c r="F13" s="12" t="s">
        <v>30</v>
      </c>
      <c r="G13" s="13">
        <v>270</v>
      </c>
      <c r="H13" s="31">
        <f t="shared" ref="H13" si="0">ROUNDDOWN(E13*G13,0)</f>
        <v>0</v>
      </c>
      <c r="I13" s="31"/>
      <c r="J13" s="34" t="s">
        <v>35</v>
      </c>
      <c r="K13" s="35"/>
      <c r="L13" s="35"/>
      <c r="M13" s="36"/>
    </row>
    <row r="14" spans="1:13" ht="18" customHeight="1" x14ac:dyDescent="0.25">
      <c r="A14" s="25" t="s">
        <v>54</v>
      </c>
      <c r="B14" s="32"/>
      <c r="C14" s="32"/>
      <c r="D14" s="32"/>
      <c r="E14" s="11"/>
      <c r="F14" s="12" t="s">
        <v>30</v>
      </c>
      <c r="G14" s="13">
        <v>180</v>
      </c>
      <c r="H14" s="31">
        <f t="shared" ref="H14:H18" si="1">ROUNDDOWN(E14*G14,0)</f>
        <v>0</v>
      </c>
      <c r="I14" s="31"/>
      <c r="J14" s="34" t="s">
        <v>35</v>
      </c>
      <c r="K14" s="35"/>
      <c r="L14" s="35"/>
      <c r="M14" s="36"/>
    </row>
    <row r="15" spans="1:13" ht="18" customHeight="1" x14ac:dyDescent="0.25">
      <c r="A15" s="25" t="s">
        <v>5</v>
      </c>
      <c r="B15" s="32"/>
      <c r="C15" s="32"/>
      <c r="D15" s="32"/>
      <c r="E15" s="11"/>
      <c r="F15" s="12" t="s">
        <v>30</v>
      </c>
      <c r="G15" s="13">
        <v>285</v>
      </c>
      <c r="H15" s="31">
        <f t="shared" si="1"/>
        <v>0</v>
      </c>
      <c r="I15" s="31"/>
      <c r="J15" s="34" t="s">
        <v>35</v>
      </c>
      <c r="K15" s="35"/>
      <c r="L15" s="35"/>
      <c r="M15" s="36"/>
    </row>
    <row r="16" spans="1:13" ht="18" customHeight="1" x14ac:dyDescent="0.25">
      <c r="A16" s="25" t="s">
        <v>6</v>
      </c>
      <c r="B16" s="32"/>
      <c r="C16" s="32"/>
      <c r="D16" s="33"/>
      <c r="E16" s="11"/>
      <c r="F16" s="12" t="s">
        <v>30</v>
      </c>
      <c r="G16" s="13">
        <v>190</v>
      </c>
      <c r="H16" s="31">
        <f t="shared" si="1"/>
        <v>0</v>
      </c>
      <c r="I16" s="31"/>
      <c r="J16" s="34" t="s">
        <v>35</v>
      </c>
      <c r="K16" s="35"/>
      <c r="L16" s="35"/>
      <c r="M16" s="36"/>
    </row>
    <row r="17" spans="1:13" ht="18" customHeight="1" x14ac:dyDescent="0.25">
      <c r="A17" s="25" t="s">
        <v>7</v>
      </c>
      <c r="B17" s="32"/>
      <c r="C17" s="32"/>
      <c r="D17" s="33"/>
      <c r="E17" s="11"/>
      <c r="F17" s="12" t="s">
        <v>30</v>
      </c>
      <c r="G17" s="13">
        <v>300</v>
      </c>
      <c r="H17" s="31">
        <f t="shared" si="1"/>
        <v>0</v>
      </c>
      <c r="I17" s="31"/>
      <c r="J17" s="34" t="s">
        <v>35</v>
      </c>
      <c r="K17" s="35"/>
      <c r="L17" s="35"/>
      <c r="M17" s="36"/>
    </row>
    <row r="18" spans="1:13" ht="18" customHeight="1" x14ac:dyDescent="0.25">
      <c r="A18" s="25" t="s">
        <v>8</v>
      </c>
      <c r="B18" s="32"/>
      <c r="C18" s="32"/>
      <c r="D18" s="33"/>
      <c r="E18" s="11"/>
      <c r="F18" s="12" t="s">
        <v>30</v>
      </c>
      <c r="G18" s="13">
        <v>200</v>
      </c>
      <c r="H18" s="31">
        <f t="shared" si="1"/>
        <v>0</v>
      </c>
      <c r="I18" s="31"/>
      <c r="J18" s="34" t="s">
        <v>35</v>
      </c>
      <c r="K18" s="35"/>
      <c r="L18" s="35"/>
      <c r="M18" s="36"/>
    </row>
    <row r="19" spans="1:13" ht="18" customHeight="1" x14ac:dyDescent="0.25">
      <c r="A19" s="25" t="s">
        <v>9</v>
      </c>
      <c r="B19" s="32"/>
      <c r="C19" s="32"/>
      <c r="D19" s="33"/>
      <c r="E19" s="11"/>
      <c r="F19" s="12"/>
      <c r="G19" s="13">
        <v>5000</v>
      </c>
      <c r="H19" s="31">
        <f>E19*G19</f>
        <v>0</v>
      </c>
      <c r="I19" s="31"/>
      <c r="J19" s="34"/>
      <c r="K19" s="35"/>
      <c r="L19" s="35"/>
      <c r="M19" s="36"/>
    </row>
    <row r="20" spans="1:13" ht="18" customHeight="1" x14ac:dyDescent="0.25">
      <c r="A20" s="25" t="s">
        <v>10</v>
      </c>
      <c r="B20" s="32"/>
      <c r="C20" s="32"/>
      <c r="D20" s="33"/>
      <c r="E20" s="11"/>
      <c r="F20" s="12"/>
      <c r="G20" s="13">
        <v>5000</v>
      </c>
      <c r="H20" s="31">
        <f t="shared" ref="H20:H44" si="2">E20*G20</f>
        <v>0</v>
      </c>
      <c r="I20" s="31"/>
      <c r="J20" s="34"/>
      <c r="K20" s="35"/>
      <c r="L20" s="35"/>
      <c r="M20" s="36"/>
    </row>
    <row r="21" spans="1:13" ht="18" customHeight="1" x14ac:dyDescent="0.25">
      <c r="A21" s="25" t="s">
        <v>11</v>
      </c>
      <c r="B21" s="32"/>
      <c r="C21" s="32"/>
      <c r="D21" s="33"/>
      <c r="E21" s="11"/>
      <c r="F21" s="12" t="s">
        <v>31</v>
      </c>
      <c r="G21" s="13">
        <v>1320</v>
      </c>
      <c r="H21" s="31">
        <f t="shared" si="2"/>
        <v>0</v>
      </c>
      <c r="I21" s="31"/>
      <c r="J21" s="34"/>
      <c r="K21" s="35"/>
      <c r="L21" s="35"/>
      <c r="M21" s="36"/>
    </row>
    <row r="22" spans="1:13" ht="18" customHeight="1" x14ac:dyDescent="0.25">
      <c r="A22" s="25" t="s">
        <v>12</v>
      </c>
      <c r="B22" s="32"/>
      <c r="C22" s="32"/>
      <c r="D22" s="33"/>
      <c r="E22" s="11"/>
      <c r="F22" s="12" t="s">
        <v>31</v>
      </c>
      <c r="G22" s="13">
        <v>880</v>
      </c>
      <c r="H22" s="31">
        <f t="shared" si="2"/>
        <v>0</v>
      </c>
      <c r="I22" s="31"/>
      <c r="J22" s="34"/>
      <c r="K22" s="35"/>
      <c r="L22" s="35"/>
      <c r="M22" s="36"/>
    </row>
    <row r="23" spans="1:13" ht="18" customHeight="1" x14ac:dyDescent="0.25">
      <c r="A23" s="25" t="s">
        <v>13</v>
      </c>
      <c r="B23" s="32"/>
      <c r="C23" s="32"/>
      <c r="D23" s="33"/>
      <c r="E23" s="11"/>
      <c r="F23" s="12" t="s">
        <v>31</v>
      </c>
      <c r="G23" s="13">
        <v>600</v>
      </c>
      <c r="H23" s="31">
        <f t="shared" si="2"/>
        <v>0</v>
      </c>
      <c r="I23" s="31"/>
      <c r="J23" s="34"/>
      <c r="K23" s="35"/>
      <c r="L23" s="35"/>
      <c r="M23" s="36"/>
    </row>
    <row r="24" spans="1:13" ht="18" customHeight="1" x14ac:dyDescent="0.25">
      <c r="A24" s="25" t="s">
        <v>14</v>
      </c>
      <c r="B24" s="32"/>
      <c r="C24" s="32"/>
      <c r="D24" s="33"/>
      <c r="E24" s="11"/>
      <c r="F24" s="12" t="s">
        <v>31</v>
      </c>
      <c r="G24" s="13">
        <v>400</v>
      </c>
      <c r="H24" s="31">
        <f t="shared" si="2"/>
        <v>0</v>
      </c>
      <c r="I24" s="31"/>
      <c r="J24" s="34"/>
      <c r="K24" s="35"/>
      <c r="L24" s="35"/>
      <c r="M24" s="36"/>
    </row>
    <row r="25" spans="1:13" ht="18" customHeight="1" x14ac:dyDescent="0.25">
      <c r="A25" s="25" t="s">
        <v>15</v>
      </c>
      <c r="B25" s="32"/>
      <c r="C25" s="32"/>
      <c r="D25" s="33"/>
      <c r="E25" s="11"/>
      <c r="F25" s="12" t="s">
        <v>31</v>
      </c>
      <c r="G25" s="13">
        <v>1320</v>
      </c>
      <c r="H25" s="31">
        <f t="shared" si="2"/>
        <v>0</v>
      </c>
      <c r="I25" s="31"/>
      <c r="J25" s="34"/>
      <c r="K25" s="35"/>
      <c r="L25" s="35"/>
      <c r="M25" s="36"/>
    </row>
    <row r="26" spans="1:13" ht="18" customHeight="1" x14ac:dyDescent="0.25">
      <c r="A26" s="25" t="s">
        <v>16</v>
      </c>
      <c r="B26" s="32"/>
      <c r="C26" s="32"/>
      <c r="D26" s="33"/>
      <c r="E26" s="11"/>
      <c r="F26" s="12" t="s">
        <v>31</v>
      </c>
      <c r="G26" s="13">
        <v>880</v>
      </c>
      <c r="H26" s="31">
        <f t="shared" si="2"/>
        <v>0</v>
      </c>
      <c r="I26" s="31"/>
      <c r="J26" s="34"/>
      <c r="K26" s="35"/>
      <c r="L26" s="35"/>
      <c r="M26" s="36"/>
    </row>
    <row r="27" spans="1:13" ht="18" customHeight="1" x14ac:dyDescent="0.25">
      <c r="A27" s="25" t="s">
        <v>17</v>
      </c>
      <c r="B27" s="32"/>
      <c r="C27" s="32"/>
      <c r="D27" s="33"/>
      <c r="E27" s="11"/>
      <c r="F27" s="12" t="s">
        <v>31</v>
      </c>
      <c r="G27" s="13">
        <v>1320</v>
      </c>
      <c r="H27" s="31">
        <f t="shared" si="2"/>
        <v>0</v>
      </c>
      <c r="I27" s="31"/>
      <c r="J27" s="34"/>
      <c r="K27" s="35"/>
      <c r="L27" s="35"/>
      <c r="M27" s="36"/>
    </row>
    <row r="28" spans="1:13" ht="18" customHeight="1" x14ac:dyDescent="0.25">
      <c r="A28" s="25" t="s">
        <v>18</v>
      </c>
      <c r="B28" s="32"/>
      <c r="C28" s="32"/>
      <c r="D28" s="33"/>
      <c r="E28" s="11"/>
      <c r="F28" s="12" t="s">
        <v>31</v>
      </c>
      <c r="G28" s="13">
        <v>880</v>
      </c>
      <c r="H28" s="31">
        <f t="shared" si="2"/>
        <v>0</v>
      </c>
      <c r="I28" s="31"/>
      <c r="J28" s="34"/>
      <c r="K28" s="35"/>
      <c r="L28" s="35"/>
      <c r="M28" s="36"/>
    </row>
    <row r="29" spans="1:13" ht="18" customHeight="1" x14ac:dyDescent="0.25">
      <c r="A29" s="25" t="s">
        <v>48</v>
      </c>
      <c r="B29" s="32"/>
      <c r="C29" s="32"/>
      <c r="D29" s="33"/>
      <c r="E29" s="11"/>
      <c r="F29" s="12" t="s">
        <v>32</v>
      </c>
      <c r="G29" s="13">
        <v>140</v>
      </c>
      <c r="H29" s="31">
        <f t="shared" si="2"/>
        <v>0</v>
      </c>
      <c r="I29" s="31"/>
      <c r="J29" s="34" t="s">
        <v>36</v>
      </c>
      <c r="K29" s="35"/>
      <c r="L29" s="35"/>
      <c r="M29" s="36"/>
    </row>
    <row r="30" spans="1:13" ht="18" customHeight="1" x14ac:dyDescent="0.25">
      <c r="A30" s="25" t="s">
        <v>41</v>
      </c>
      <c r="B30" s="32"/>
      <c r="C30" s="32"/>
      <c r="D30" s="33"/>
      <c r="E30" s="11"/>
      <c r="F30" s="12" t="s">
        <v>42</v>
      </c>
      <c r="G30" s="13">
        <v>130</v>
      </c>
      <c r="H30" s="37">
        <f>E30*G30</f>
        <v>0</v>
      </c>
      <c r="I30" s="38"/>
      <c r="J30" s="40"/>
      <c r="K30" s="41"/>
      <c r="L30" s="41"/>
      <c r="M30" s="42"/>
    </row>
    <row r="31" spans="1:13" ht="18" customHeight="1" x14ac:dyDescent="0.25">
      <c r="A31" s="25" t="s">
        <v>19</v>
      </c>
      <c r="B31" s="32"/>
      <c r="C31" s="32"/>
      <c r="D31" s="33"/>
      <c r="E31" s="11"/>
      <c r="F31" s="12" t="s">
        <v>32</v>
      </c>
      <c r="G31" s="13">
        <v>180</v>
      </c>
      <c r="H31" s="31">
        <f t="shared" si="2"/>
        <v>0</v>
      </c>
      <c r="I31" s="31"/>
      <c r="J31" s="34"/>
      <c r="K31" s="35"/>
      <c r="L31" s="35"/>
      <c r="M31" s="36"/>
    </row>
    <row r="32" spans="1:13" ht="18" customHeight="1" x14ac:dyDescent="0.25">
      <c r="A32" s="25" t="s">
        <v>20</v>
      </c>
      <c r="B32" s="32"/>
      <c r="C32" s="32"/>
      <c r="D32" s="33"/>
      <c r="E32" s="11"/>
      <c r="F32" s="12" t="s">
        <v>33</v>
      </c>
      <c r="G32" s="13">
        <v>600</v>
      </c>
      <c r="H32" s="31">
        <f t="shared" si="2"/>
        <v>0</v>
      </c>
      <c r="I32" s="31"/>
      <c r="J32" s="34" t="s">
        <v>49</v>
      </c>
      <c r="K32" s="35"/>
      <c r="L32" s="35"/>
      <c r="M32" s="36"/>
    </row>
    <row r="33" spans="1:13" ht="18" customHeight="1" x14ac:dyDescent="0.25">
      <c r="A33" s="25" t="s">
        <v>21</v>
      </c>
      <c r="B33" s="32"/>
      <c r="C33" s="32"/>
      <c r="D33" s="33"/>
      <c r="E33" s="11"/>
      <c r="F33" s="12" t="s">
        <v>33</v>
      </c>
      <c r="G33" s="13">
        <v>400</v>
      </c>
      <c r="H33" s="31">
        <f t="shared" si="2"/>
        <v>0</v>
      </c>
      <c r="I33" s="31"/>
      <c r="J33" s="34"/>
      <c r="K33" s="35"/>
      <c r="L33" s="35"/>
      <c r="M33" s="36"/>
    </row>
    <row r="34" spans="1:13" ht="18" customHeight="1" x14ac:dyDescent="0.25">
      <c r="A34" s="25" t="s">
        <v>22</v>
      </c>
      <c r="B34" s="32"/>
      <c r="C34" s="32"/>
      <c r="D34" s="33"/>
      <c r="E34" s="11"/>
      <c r="F34" s="12" t="s">
        <v>44</v>
      </c>
      <c r="G34" s="13">
        <v>600</v>
      </c>
      <c r="H34" s="31">
        <f t="shared" si="2"/>
        <v>0</v>
      </c>
      <c r="I34" s="31"/>
      <c r="J34" s="34"/>
      <c r="K34" s="35"/>
      <c r="L34" s="35"/>
      <c r="M34" s="36"/>
    </row>
    <row r="35" spans="1:13" ht="18" customHeight="1" x14ac:dyDescent="0.25">
      <c r="A35" s="25" t="s">
        <v>23</v>
      </c>
      <c r="B35" s="32"/>
      <c r="C35" s="32"/>
      <c r="D35" s="33"/>
      <c r="E35" s="11"/>
      <c r="F35" s="12" t="s">
        <v>44</v>
      </c>
      <c r="G35" s="13">
        <v>400</v>
      </c>
      <c r="H35" s="31">
        <f t="shared" si="2"/>
        <v>0</v>
      </c>
      <c r="I35" s="31"/>
      <c r="J35" s="34"/>
      <c r="K35" s="35"/>
      <c r="L35" s="35"/>
      <c r="M35" s="36"/>
    </row>
    <row r="36" spans="1:13" ht="18" customHeight="1" x14ac:dyDescent="0.25">
      <c r="A36" s="25" t="s">
        <v>24</v>
      </c>
      <c r="B36" s="32"/>
      <c r="C36" s="32"/>
      <c r="D36" s="33"/>
      <c r="E36" s="11"/>
      <c r="F36" s="12" t="s">
        <v>43</v>
      </c>
      <c r="G36" s="13">
        <v>1000</v>
      </c>
      <c r="H36" s="31">
        <f t="shared" si="2"/>
        <v>0</v>
      </c>
      <c r="I36" s="31"/>
      <c r="J36" s="34"/>
      <c r="K36" s="35"/>
      <c r="L36" s="35"/>
      <c r="M36" s="36"/>
    </row>
    <row r="37" spans="1:13" ht="18" customHeight="1" x14ac:dyDescent="0.25">
      <c r="A37" s="25" t="s">
        <v>25</v>
      </c>
      <c r="B37" s="32"/>
      <c r="C37" s="32"/>
      <c r="D37" s="33"/>
      <c r="E37" s="11"/>
      <c r="F37" s="12" t="s">
        <v>31</v>
      </c>
      <c r="G37" s="13">
        <v>2100</v>
      </c>
      <c r="H37" s="31">
        <f t="shared" si="2"/>
        <v>0</v>
      </c>
      <c r="I37" s="31"/>
      <c r="J37" s="34" t="s">
        <v>37</v>
      </c>
      <c r="K37" s="35"/>
      <c r="L37" s="35"/>
      <c r="M37" s="36"/>
    </row>
    <row r="38" spans="1:13" ht="18" customHeight="1" x14ac:dyDescent="0.25">
      <c r="A38" s="25" t="s">
        <v>26</v>
      </c>
      <c r="B38" s="32"/>
      <c r="C38" s="32"/>
      <c r="D38" s="33"/>
      <c r="E38" s="11"/>
      <c r="F38" s="12" t="s">
        <v>31</v>
      </c>
      <c r="G38" s="13">
        <v>1400</v>
      </c>
      <c r="H38" s="31">
        <f t="shared" si="2"/>
        <v>0</v>
      </c>
      <c r="I38" s="31"/>
      <c r="J38" s="34"/>
      <c r="K38" s="35"/>
      <c r="L38" s="35"/>
      <c r="M38" s="36"/>
    </row>
    <row r="39" spans="1:13" ht="18" customHeight="1" x14ac:dyDescent="0.25">
      <c r="A39" s="25" t="s">
        <v>27</v>
      </c>
      <c r="B39" s="32"/>
      <c r="C39" s="32"/>
      <c r="D39" s="33"/>
      <c r="E39" s="11"/>
      <c r="F39" s="12" t="s">
        <v>30</v>
      </c>
      <c r="G39" s="13">
        <v>240</v>
      </c>
      <c r="H39" s="31">
        <f t="shared" ref="H39" si="3">ROUNDDOWN(E39*G39,0)</f>
        <v>0</v>
      </c>
      <c r="I39" s="31"/>
      <c r="J39" s="34"/>
      <c r="K39" s="35"/>
      <c r="L39" s="35"/>
      <c r="M39" s="36"/>
    </row>
    <row r="40" spans="1:13" ht="18" customHeight="1" x14ac:dyDescent="0.25">
      <c r="A40" s="25" t="s">
        <v>28</v>
      </c>
      <c r="B40" s="32"/>
      <c r="C40" s="32"/>
      <c r="D40" s="33"/>
      <c r="E40" s="11"/>
      <c r="F40" s="12" t="s">
        <v>30</v>
      </c>
      <c r="G40" s="13">
        <v>160</v>
      </c>
      <c r="H40" s="31">
        <f t="shared" ref="H40" si="4">ROUNDDOWN(E40*G40,0)</f>
        <v>0</v>
      </c>
      <c r="I40" s="31"/>
      <c r="J40" s="34"/>
      <c r="K40" s="35"/>
      <c r="L40" s="35"/>
      <c r="M40" s="36"/>
    </row>
    <row r="41" spans="1:13" ht="18" customHeight="1" x14ac:dyDescent="0.25">
      <c r="A41" s="28" t="s">
        <v>55</v>
      </c>
      <c r="B41" s="26"/>
      <c r="C41" s="26"/>
      <c r="D41" s="27"/>
      <c r="E41" s="11"/>
      <c r="F41" s="12" t="s">
        <v>34</v>
      </c>
      <c r="G41" s="13">
        <v>3000</v>
      </c>
      <c r="H41" s="31">
        <f t="shared" si="2"/>
        <v>0</v>
      </c>
      <c r="I41" s="31"/>
      <c r="J41" s="34" t="s">
        <v>56</v>
      </c>
      <c r="K41" s="35"/>
      <c r="L41" s="35"/>
      <c r="M41" s="36"/>
    </row>
    <row r="42" spans="1:13" ht="18" customHeight="1" x14ac:dyDescent="0.25">
      <c r="A42" s="25" t="s">
        <v>29</v>
      </c>
      <c r="B42" s="26"/>
      <c r="C42" s="26"/>
      <c r="D42" s="27"/>
      <c r="E42" s="11"/>
      <c r="F42" s="12" t="s">
        <v>43</v>
      </c>
      <c r="G42" s="13">
        <v>5000</v>
      </c>
      <c r="H42" s="31">
        <f t="shared" si="2"/>
        <v>0</v>
      </c>
      <c r="I42" s="31"/>
      <c r="J42" s="34"/>
      <c r="K42" s="35"/>
      <c r="L42" s="35"/>
      <c r="M42" s="36"/>
    </row>
    <row r="43" spans="1:13" ht="18" customHeight="1" x14ac:dyDescent="0.25">
      <c r="A43" s="28"/>
      <c r="B43" s="26"/>
      <c r="C43" s="26"/>
      <c r="D43" s="27"/>
      <c r="E43" s="11"/>
      <c r="F43" s="12"/>
      <c r="G43" s="13"/>
      <c r="H43" s="31">
        <f t="shared" si="2"/>
        <v>0</v>
      </c>
      <c r="I43" s="31"/>
      <c r="J43" s="34"/>
      <c r="K43" s="35"/>
      <c r="L43" s="35"/>
      <c r="M43" s="36"/>
    </row>
    <row r="44" spans="1:13" ht="18" customHeight="1" x14ac:dyDescent="0.25">
      <c r="A44" s="28"/>
      <c r="B44" s="26"/>
      <c r="C44" s="26"/>
      <c r="D44" s="27"/>
      <c r="E44" s="11"/>
      <c r="F44" s="12"/>
      <c r="G44" s="13"/>
      <c r="H44" s="31">
        <f t="shared" si="2"/>
        <v>0</v>
      </c>
      <c r="I44" s="31"/>
      <c r="J44" s="34"/>
      <c r="K44" s="35"/>
      <c r="L44" s="35"/>
      <c r="M44" s="36"/>
    </row>
    <row r="45" spans="1:13" ht="18" customHeight="1" x14ac:dyDescent="0.25">
      <c r="A45" s="28"/>
      <c r="B45" s="26"/>
      <c r="C45" s="26"/>
      <c r="D45" s="27"/>
      <c r="E45" s="11"/>
      <c r="F45" s="12"/>
      <c r="G45" s="13"/>
      <c r="H45" s="31">
        <f t="shared" ref="H45" si="5">E45*G45</f>
        <v>0</v>
      </c>
      <c r="I45" s="31"/>
      <c r="J45" s="34"/>
      <c r="K45" s="35"/>
      <c r="L45" s="35"/>
      <c r="M45" s="36"/>
    </row>
    <row r="46" spans="1:13" ht="18" customHeight="1" x14ac:dyDescent="0.25">
      <c r="A46" s="28"/>
      <c r="B46" s="26"/>
      <c r="C46" s="26"/>
      <c r="D46" s="27"/>
      <c r="E46" s="11"/>
      <c r="F46" s="12"/>
      <c r="G46" s="13"/>
      <c r="H46" s="31">
        <f t="shared" ref="H46:H47" si="6">E46*G46</f>
        <v>0</v>
      </c>
      <c r="I46" s="31"/>
      <c r="J46" s="34"/>
      <c r="K46" s="35"/>
      <c r="L46" s="35"/>
      <c r="M46" s="36"/>
    </row>
    <row r="47" spans="1:13" ht="18" customHeight="1" thickBot="1" x14ac:dyDescent="0.3">
      <c r="A47" s="28"/>
      <c r="B47" s="26"/>
      <c r="C47" s="26"/>
      <c r="D47" s="27"/>
      <c r="E47" s="14"/>
      <c r="F47" s="12"/>
      <c r="G47" s="13"/>
      <c r="H47" s="31">
        <f t="shared" si="6"/>
        <v>0</v>
      </c>
      <c r="I47" s="31"/>
      <c r="J47" s="34"/>
      <c r="K47" s="35"/>
      <c r="L47" s="35"/>
      <c r="M47" s="36"/>
    </row>
    <row r="48" spans="1:13" ht="18" customHeight="1" thickBot="1" x14ac:dyDescent="0.3">
      <c r="A48" s="15"/>
      <c r="B48" s="15"/>
      <c r="C48" s="15"/>
      <c r="D48" s="16"/>
      <c r="E48" s="39" t="s">
        <v>40</v>
      </c>
      <c r="F48" s="39"/>
      <c r="G48" s="39"/>
      <c r="H48" s="31">
        <f>SUM(H13:I47)</f>
        <v>0</v>
      </c>
      <c r="I48" s="31"/>
      <c r="J48" s="31"/>
      <c r="K48" s="31"/>
      <c r="L48" s="31"/>
      <c r="M48" s="31"/>
    </row>
    <row r="49" spans="1:1" ht="15.75" customHeight="1" x14ac:dyDescent="0.25">
      <c r="A49" s="17" t="s">
        <v>39</v>
      </c>
    </row>
  </sheetData>
  <mergeCells count="128">
    <mergeCell ref="H22:I22"/>
    <mergeCell ref="H23:I23"/>
    <mergeCell ref="H24:I24"/>
    <mergeCell ref="H12:I12"/>
    <mergeCell ref="A12:C12"/>
    <mergeCell ref="A11:B11"/>
    <mergeCell ref="C11:G11"/>
    <mergeCell ref="F4:G4"/>
    <mergeCell ref="A13:D13"/>
    <mergeCell ref="A14:D14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I8:M8"/>
    <mergeCell ref="B9:E9"/>
    <mergeCell ref="J12:M12"/>
    <mergeCell ref="J18:M18"/>
    <mergeCell ref="J19:M19"/>
    <mergeCell ref="E1:J2"/>
    <mergeCell ref="H41:I41"/>
    <mergeCell ref="H42:I42"/>
    <mergeCell ref="H43:I43"/>
    <mergeCell ref="J35:M35"/>
    <mergeCell ref="J36:M36"/>
    <mergeCell ref="J37:M37"/>
    <mergeCell ref="J38:M38"/>
    <mergeCell ref="J34:M34"/>
    <mergeCell ref="J23:M23"/>
    <mergeCell ref="J24:M24"/>
    <mergeCell ref="J25:M25"/>
    <mergeCell ref="J26:M26"/>
    <mergeCell ref="H40:I40"/>
    <mergeCell ref="H34:I34"/>
    <mergeCell ref="H35:I35"/>
    <mergeCell ref="H36:I36"/>
    <mergeCell ref="H37:I37"/>
    <mergeCell ref="H38:I38"/>
    <mergeCell ref="H27:I27"/>
    <mergeCell ref="H28:I28"/>
    <mergeCell ref="H29:I29"/>
    <mergeCell ref="J17:M17"/>
    <mergeCell ref="B6:F6"/>
    <mergeCell ref="J20:M20"/>
    <mergeCell ref="J21:M21"/>
    <mergeCell ref="J22:M22"/>
    <mergeCell ref="J30:M30"/>
    <mergeCell ref="J13:M13"/>
    <mergeCell ref="J14:M14"/>
    <mergeCell ref="J15:M15"/>
    <mergeCell ref="J27:M27"/>
    <mergeCell ref="J28:M28"/>
    <mergeCell ref="J29:M29"/>
    <mergeCell ref="J16:M16"/>
    <mergeCell ref="A41:D41"/>
    <mergeCell ref="H31:I31"/>
    <mergeCell ref="H32:I32"/>
    <mergeCell ref="H33:I33"/>
    <mergeCell ref="H30:I30"/>
    <mergeCell ref="E48:G48"/>
    <mergeCell ref="H48:M48"/>
    <mergeCell ref="J39:M39"/>
    <mergeCell ref="J40:M40"/>
    <mergeCell ref="J41:M41"/>
    <mergeCell ref="J42:M42"/>
    <mergeCell ref="J43:M43"/>
    <mergeCell ref="J44:M44"/>
    <mergeCell ref="H44:I44"/>
    <mergeCell ref="H39:I39"/>
    <mergeCell ref="J45:M45"/>
    <mergeCell ref="H46:I46"/>
    <mergeCell ref="J46:M46"/>
    <mergeCell ref="H47:I47"/>
    <mergeCell ref="J47:M47"/>
    <mergeCell ref="H45:I45"/>
    <mergeCell ref="H6:I6"/>
    <mergeCell ref="A46:D46"/>
    <mergeCell ref="A47:D47"/>
    <mergeCell ref="A44:D44"/>
    <mergeCell ref="A45:D45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9:D39"/>
    <mergeCell ref="A40:D40"/>
    <mergeCell ref="H4:I4"/>
    <mergeCell ref="B5:I5"/>
    <mergeCell ref="B3:G3"/>
    <mergeCell ref="A42:D42"/>
    <mergeCell ref="A43:D43"/>
    <mergeCell ref="I7:M7"/>
    <mergeCell ref="D8:E8"/>
    <mergeCell ref="B8:C8"/>
    <mergeCell ref="F8:G8"/>
    <mergeCell ref="B7:H7"/>
    <mergeCell ref="F9:G9"/>
    <mergeCell ref="I9:M9"/>
    <mergeCell ref="H25:I25"/>
    <mergeCell ref="H26:I26"/>
    <mergeCell ref="A32:D32"/>
    <mergeCell ref="A33:D33"/>
    <mergeCell ref="A34:D34"/>
    <mergeCell ref="A35:D35"/>
    <mergeCell ref="A36:D36"/>
    <mergeCell ref="A37:D37"/>
    <mergeCell ref="A38:D38"/>
    <mergeCell ref="J31:M31"/>
    <mergeCell ref="J32:M32"/>
    <mergeCell ref="J33:M33"/>
  </mergeCells>
  <phoneticPr fontId="1"/>
  <dataValidations count="1">
    <dataValidation type="list" showInputMessage="1" showErrorMessage="1" sqref="F43:F47">
      <formula1>"㎡,式,面,枚,基,本,車"</formula1>
    </dataValidation>
  </dataValidations>
  <pageMargins left="0.7" right="0.7" top="0.75" bottom="0.75" header="0.3" footer="0.3"/>
  <pageSetup paperSize="9" scale="8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granz-b</dc:creator>
  <cp:lastModifiedBy>Microsoft Office ユーザー</cp:lastModifiedBy>
  <cp:lastPrinted>2018-01-29T03:21:35Z</cp:lastPrinted>
  <dcterms:created xsi:type="dcterms:W3CDTF">2017-07-26T04:38:17Z</dcterms:created>
  <dcterms:modified xsi:type="dcterms:W3CDTF">2018-01-29T03:51:35Z</dcterms:modified>
</cp:coreProperties>
</file>